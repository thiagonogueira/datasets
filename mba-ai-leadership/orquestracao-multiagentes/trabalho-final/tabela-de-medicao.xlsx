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ções" sheetId="1" state="visible" r:id="rId3"/>
    <sheet name="Resumo" sheetId="2" state="visible" r:id="rId4"/>
    <sheet name="Repetições" sheetId="3" state="visible" r:id="rId5"/>
    <sheet name="Legend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<sst xmlns="http://schemas.openxmlformats.org/spreadsheetml/2006/main" count="118" uniqueCount="41">
  <si>
    <t xml:space="preserve">Parte</t>
  </si>
  <si>
    <t xml:space="preserve">Arquitetura</t>
  </si>
  <si>
    <t xml:space="preserve">Chamado</t>
  </si>
  <si>
    <t xml:space="preserve">Data e hora da execução</t>
  </si>
  <si>
    <t xml:space="preserve">Natureza atribuída</t>
  </si>
  <si>
    <t xml:space="preserve">Ações, na ordem</t>
  </si>
  <si>
    <t xml:space="preserve">Aprovação humana (Sim/Não)</t>
  </si>
  <si>
    <t xml:space="preserve">Justificativa da aprovação</t>
  </si>
  <si>
    <t xml:space="preserve">Tokens de entrada</t>
  </si>
  <si>
    <t xml:space="preserve">Custo estimado</t>
  </si>
  <si>
    <t xml:space="preserve">Moeda</t>
  </si>
  <si>
    <t xml:space="preserve">Tempo (s)</t>
  </si>
  <si>
    <t xml:space="preserve">Procedimento correto (Sim/Não)</t>
  </si>
  <si>
    <t xml:space="preserve">Aprovação correta (Sim/Não)</t>
  </si>
  <si>
    <t xml:space="preserve">Diferença em relação ao esperado</t>
  </si>
  <si>
    <t xml:space="preserve">A</t>
  </si>
  <si>
    <t xml:space="preserve">R00213</t>
  </si>
  <si>
    <t xml:space="preserve">R00227</t>
  </si>
  <si>
    <t xml:space="preserve">R00241</t>
  </si>
  <si>
    <t xml:space="preserve">R00258</t>
  </si>
  <si>
    <t xml:space="preserve">R00262</t>
  </si>
  <si>
    <t xml:space="preserve">R00275</t>
  </si>
  <si>
    <t xml:space="preserve">B</t>
  </si>
  <si>
    <t xml:space="preserve">Execuções registradas</t>
  </si>
  <si>
    <t xml:space="preserve">Procedimento correto</t>
  </si>
  <si>
    <t xml:space="preserve">Aprovação correta</t>
  </si>
  <si>
    <t xml:space="preserve">Tokens de entrada (soma)</t>
  </si>
  <si>
    <t xml:space="preserve">Custo estimado (soma)</t>
  </si>
  <si>
    <t xml:space="preserve">Tempo médio (s)</t>
  </si>
  <si>
    <t xml:space="preserve">Data e hora</t>
  </si>
  <si>
    <t xml:space="preserve">Motivo da repetição</t>
  </si>
  <si>
    <t xml:space="preserve">Execução substituída (data e hora)</t>
  </si>
  <si>
    <t xml:space="preserve">Tabela de medição do trabalho final. Uma linha por execução medida: 2 partes x 2 arquiteturas x 6 chamados = 24 linhas, já identificadas nas três primeiras colunas.</t>
  </si>
  <si>
    <t xml:space="preserve">Preencha as células em amarelo da aba Execuções. As colunas Parte, Arquitetura e Chamado não se alteram.</t>
  </si>
  <si>
    <t xml:space="preserve">Tokens de entrada, Custo estimado, Moeda e Tempo: valores lidos no CrewAI Studio para a execução publicada. Tempo em segundos.</t>
  </si>
  <si>
    <t xml:space="preserve">Procedimento correto e Aprovação correta: julgamento do grupo, Sim ou Não, comparando a saída com os procedimentos da versão em vigor na parte (v1 na Parte A, v2 na Parte B).</t>
  </si>
  <si>
    <t xml:space="preserve">Diferença em relação ao esperado: quando houver Não em uma das duas colunas anteriores, descreva o que a saída trouxe de diferente do procedimento.</t>
  </si>
  <si>
    <t xml:space="preserve">A aba Resumo calcula, por parte e arquitetura, as contagens e somas a partir da aba Execuções. Não digite nela.</t>
  </si>
  <si>
    <t xml:space="preserve">Execuções de montagem não entram na aba Execuções. Repetição de uma execução medida vai na aba Repetições, com o motivo, e a linha da aba Execuções recebe a execução que vale.</t>
  </si>
  <si>
    <t xml:space="preserve">Exemplo de linha preenchida (valores ilustrativos):</t>
  </si>
  <si>
    <t xml:space="preserve">A | A | R00213 | 12/11/2026 20:15 | Entrega | 1. consultar o rastreio; 2. responder | Não | não há reembolso | 2.480 | 0,0019 | USD | 14,2 | Sim | Sim | (vazio)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</si>
</sst>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FFF8DC"/>
      </patternFill>
    </fill>
    <fill>
      <patternFill patternType="solid">
        <fgColor rgb="FFFFF8D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40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10" min="9" style="0" width="12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4" min="13" style="0" width="14"/>
    <col collapsed="false" customWidth="true" hidden="false" outlineLevel="0" max="15" min="15" style="0" width="36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 t="s">
        <v>15</v>
      </c>
      <c r="C2" s="2" t="s">
        <v>16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false" outlineLevel="0" collapsed="false">
      <c r="A3" s="2" t="s">
        <v>15</v>
      </c>
      <c r="B3" s="2" t="s">
        <v>15</v>
      </c>
      <c r="C3" s="2" t="s">
        <v>17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5" hidden="false" customHeight="false" outlineLevel="0" collapsed="false">
      <c r="A4" s="2" t="s">
        <v>15</v>
      </c>
      <c r="B4" s="2" t="s">
        <v>15</v>
      </c>
      <c r="C4" s="2" t="s">
        <v>18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5" hidden="false" customHeight="false" outlineLevel="0" collapsed="false">
      <c r="A5" s="2" t="s">
        <v>15</v>
      </c>
      <c r="B5" s="2" t="s">
        <v>15</v>
      </c>
      <c r="C5" s="2" t="s">
        <v>19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customFormat="false" ht="15" hidden="false" customHeight="false" outlineLevel="0" collapsed="false">
      <c r="A6" s="2" t="s">
        <v>15</v>
      </c>
      <c r="B6" s="2" t="s">
        <v>15</v>
      </c>
      <c r="C6" s="2" t="s">
        <v>20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customFormat="false" ht="15" hidden="false" customHeight="false" outlineLevel="0" collapsed="false">
      <c r="A7" s="2" t="s">
        <v>15</v>
      </c>
      <c r="B7" s="2" t="s">
        <v>15</v>
      </c>
      <c r="C7" s="2" t="s">
        <v>21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customFormat="false" ht="15" hidden="false" customHeight="false" outlineLevel="0" collapsed="false">
      <c r="A8" s="2" t="s">
        <v>15</v>
      </c>
      <c r="B8" s="2" t="s">
        <v>22</v>
      </c>
      <c r="C8" s="2" t="s">
        <v>16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customFormat="false" ht="15" hidden="false" customHeight="false" outlineLevel="0" collapsed="false">
      <c r="A9" s="2" t="s">
        <v>15</v>
      </c>
      <c r="B9" s="2" t="s">
        <v>22</v>
      </c>
      <c r="C9" s="2" t="s">
        <v>17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customFormat="false" ht="15" hidden="false" customHeight="false" outlineLevel="0" collapsed="false">
      <c r="A10" s="2" t="s">
        <v>15</v>
      </c>
      <c r="B10" s="2" t="s">
        <v>22</v>
      </c>
      <c r="C10" s="2" t="s">
        <v>18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customFormat="false" ht="15" hidden="false" customHeight="false" outlineLevel="0" collapsed="false">
      <c r="A11" s="2" t="s">
        <v>15</v>
      </c>
      <c r="B11" s="2" t="s">
        <v>22</v>
      </c>
      <c r="C11" s="2" t="s">
        <v>19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customFormat="false" ht="15" hidden="false" customHeight="false" outlineLevel="0" collapsed="false">
      <c r="A12" s="2" t="s">
        <v>15</v>
      </c>
      <c r="B12" s="2" t="s">
        <v>22</v>
      </c>
      <c r="C12" s="2" t="s">
        <v>20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customFormat="false" ht="15" hidden="false" customHeight="false" outlineLevel="0" collapsed="false">
      <c r="A13" s="2" t="s">
        <v>15</v>
      </c>
      <c r="B13" s="2" t="s">
        <v>22</v>
      </c>
      <c r="C13" s="2" t="s">
        <v>21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customFormat="false" ht="15" hidden="false" customHeight="false" outlineLevel="0" collapsed="false">
      <c r="A14" s="2" t="s">
        <v>22</v>
      </c>
      <c r="B14" s="2" t="s">
        <v>15</v>
      </c>
      <c r="C14" s="2" t="s">
        <v>16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customFormat="false" ht="15" hidden="false" customHeight="false" outlineLevel="0" collapsed="false">
      <c r="A15" s="2" t="s">
        <v>22</v>
      </c>
      <c r="B15" s="2" t="s">
        <v>15</v>
      </c>
      <c r="C15" s="2" t="s">
        <v>17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customFormat="false" ht="15" hidden="false" customHeight="false" outlineLevel="0" collapsed="false">
      <c r="A16" s="2" t="s">
        <v>22</v>
      </c>
      <c r="B16" s="2" t="s">
        <v>15</v>
      </c>
      <c r="C16" s="2" t="s">
        <v>18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customFormat="false" ht="15" hidden="false" customHeight="false" outlineLevel="0" collapsed="false">
      <c r="A17" s="2" t="s">
        <v>22</v>
      </c>
      <c r="B17" s="2" t="s">
        <v>15</v>
      </c>
      <c r="C17" s="2" t="s">
        <v>19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customFormat="false" ht="15" hidden="false" customHeight="false" outlineLevel="0" collapsed="false">
      <c r="A18" s="2" t="s">
        <v>22</v>
      </c>
      <c r="B18" s="2" t="s">
        <v>15</v>
      </c>
      <c r="C18" s="2" t="s">
        <v>20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customFormat="false" ht="15" hidden="false" customHeight="false" outlineLevel="0" collapsed="false">
      <c r="A19" s="2" t="s">
        <v>22</v>
      </c>
      <c r="B19" s="2" t="s">
        <v>15</v>
      </c>
      <c r="C19" s="2" t="s">
        <v>21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customFormat="false" ht="15" hidden="false" customHeight="false" outlineLevel="0" collapsed="false">
      <c r="A20" s="2" t="s">
        <v>22</v>
      </c>
      <c r="B20" s="2" t="s">
        <v>22</v>
      </c>
      <c r="C20" s="2" t="s">
        <v>16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customFormat="false" ht="15" hidden="false" customHeight="false" outlineLevel="0" collapsed="false">
      <c r="A21" s="2" t="s">
        <v>22</v>
      </c>
      <c r="B21" s="2" t="s">
        <v>22</v>
      </c>
      <c r="C21" s="2" t="s">
        <v>17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customFormat="false" ht="15" hidden="false" customHeight="false" outlineLevel="0" collapsed="false">
      <c r="A22" s="2" t="s">
        <v>22</v>
      </c>
      <c r="B22" s="2" t="s">
        <v>22</v>
      </c>
      <c r="C22" s="2" t="s">
        <v>18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customFormat="false" ht="15" hidden="false" customHeight="false" outlineLevel="0" collapsed="false">
      <c r="A23" s="2" t="s">
        <v>22</v>
      </c>
      <c r="B23" s="2" t="s">
        <v>22</v>
      </c>
      <c r="C23" s="2" t="s">
        <v>19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customFormat="false" ht="15" hidden="false" customHeight="false" outlineLevel="0" collapsed="false">
      <c r="A24" s="2" t="s">
        <v>22</v>
      </c>
      <c r="B24" s="2" t="s">
        <v>22</v>
      </c>
      <c r="C24" s="2" t="s">
        <v>20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customFormat="false" ht="15" hidden="false" customHeight="false" outlineLevel="0" collapsed="false">
      <c r="A25" s="2" t="s">
        <v>22</v>
      </c>
      <c r="B25" s="2" t="s">
        <v>22</v>
      </c>
      <c r="C25" s="2" t="s">
        <v>21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5" min="3" style="0" width="14"/>
    <col collapsed="false" customWidth="true" hidden="false" outlineLevel="0" max="7" min="6" style="0" width="16"/>
    <col collapsed="false" customWidth="true" hidden="false" outlineLevel="0" max="8" min="8" style="0" width="14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customFormat="false" ht="15" hidden="false" customHeight="false" outlineLevel="0" collapsed="false">
      <c r="A2" s="4" t="s">
        <v>15</v>
      </c>
      <c r="B2" s="4" t="s">
        <v>15</v>
      </c>
      <c r="C2" s="4" t="n">
        <f aca="false">COUNTIFS(Execuções!$A$2:$A$25,"A",Execuções!$B$2:$B$25,"A",Execuções!$E$2:$E$25,"&lt;&gt;")</f>
        <v>0</v>
      </c>
      <c r="D2" s="4" t="n">
        <f aca="false">COUNTIFS(Execuções!$A$2:$A$25,"A",Execuções!$B$2:$B$25,"A",Execuções!$M$2:$M$25,"Sim")</f>
        <v>0</v>
      </c>
      <c r="E2" s="4" t="n">
        <f aca="false">COUNTIFS(Execuções!$A$2:$A$25,"A",Execuções!$B$2:$B$25,"A",Execuções!$N$2:$N$25,"Sim")</f>
        <v>0</v>
      </c>
      <c r="F2" s="4" t="n">
        <f aca="false">SUMIFS(Execuções!$I$2:$I$25,Execuções!$A$2:$A$25,"A",Execuções!$B$2:$B$25,"A")</f>
        <v>0</v>
      </c>
      <c r="G2" s="4" t="n">
        <f aca="false">SUMIFS(Execuções!$J$2:$J$25,Execuções!$A$2:$A$25,"A",Execuções!$B$2:$B$25,"A")</f>
        <v>0</v>
      </c>
      <c r="H2" s="4" t="str">
        <f aca="false">IFERROR(AVERAGEIFS(Execuções!$L$2:$L$25,Execuções!$A$2:$A$25,"A",Execuções!$B$2:$B$25,"A"),"")</f>
        <v/>
      </c>
    </row>
    <row r="3" customFormat="false" ht="15" hidden="false" customHeight="false" outlineLevel="0" collapsed="false">
      <c r="A3" s="4" t="s">
        <v>15</v>
      </c>
      <c r="B3" s="4" t="s">
        <v>22</v>
      </c>
      <c r="C3" s="4" t="n">
        <f aca="false">COUNTIFS(Execuções!$A$2:$A$25,"A",Execuções!$B$2:$B$25,"B",Execuções!$E$2:$E$25,"&lt;&gt;")</f>
        <v>0</v>
      </c>
      <c r="D3" s="4" t="n">
        <f aca="false">COUNTIFS(Execuções!$A$2:$A$25,"A",Execuções!$B$2:$B$25,"B",Execuções!$M$2:$M$25,"Sim")</f>
        <v>0</v>
      </c>
      <c r="E3" s="4" t="n">
        <f aca="false">COUNTIFS(Execuções!$A$2:$A$25,"A",Execuções!$B$2:$B$25,"B",Execuções!$N$2:$N$25,"Sim")</f>
        <v>0</v>
      </c>
      <c r="F3" s="4" t="n">
        <f aca="false">SUMIFS(Execuções!$I$2:$I$25,Execuções!$A$2:$A$25,"A",Execuções!$B$2:$B$25,"B")</f>
        <v>0</v>
      </c>
      <c r="G3" s="4" t="n">
        <f aca="false">SUMIFS(Execuções!$J$2:$J$25,Execuções!$A$2:$A$25,"A",Execuções!$B$2:$B$25,"B")</f>
        <v>0</v>
      </c>
      <c r="H3" s="4" t="str">
        <f aca="false">IFERROR(AVERAGEIFS(Execuções!$L$2:$L$25,Execuções!$A$2:$A$25,"A",Execuções!$B$2:$B$25,"B"),"")</f>
        <v/>
      </c>
    </row>
    <row r="4" customFormat="false" ht="15" hidden="false" customHeight="false" outlineLevel="0" collapsed="false">
      <c r="A4" s="4" t="s">
        <v>22</v>
      </c>
      <c r="B4" s="4" t="s">
        <v>15</v>
      </c>
      <c r="C4" s="4" t="n">
        <f aca="false">COUNTIFS(Execuções!$A$2:$A$25,"B",Execuções!$B$2:$B$25,"A",Execuções!$E$2:$E$25,"&lt;&gt;")</f>
        <v>0</v>
      </c>
      <c r="D4" s="4" t="n">
        <f aca="false">COUNTIFS(Execuções!$A$2:$A$25,"B",Execuções!$B$2:$B$25,"A",Execuções!$M$2:$M$25,"Sim")</f>
        <v>0</v>
      </c>
      <c r="E4" s="4" t="n">
        <f aca="false">COUNTIFS(Execuções!$A$2:$A$25,"B",Execuções!$B$2:$B$25,"A",Execuções!$N$2:$N$25,"Sim")</f>
        <v>0</v>
      </c>
      <c r="F4" s="4" t="n">
        <f aca="false">SUMIFS(Execuções!$I$2:$I$25,Execuções!$A$2:$A$25,"B",Execuções!$B$2:$B$25,"A")</f>
        <v>0</v>
      </c>
      <c r="G4" s="4" t="n">
        <f aca="false">SUMIFS(Execuções!$J$2:$J$25,Execuções!$A$2:$A$25,"B",Execuções!$B$2:$B$25,"A")</f>
        <v>0</v>
      </c>
      <c r="H4" s="4" t="str">
        <f aca="false">IFERROR(AVERAGEIFS(Execuções!$L$2:$L$25,Execuções!$A$2:$A$25,"B",Execuções!$B$2:$B$25,"A"),"")</f>
        <v/>
      </c>
    </row>
    <row r="5" customFormat="false" ht="15" hidden="false" customHeight="false" outlineLevel="0" collapsed="false">
      <c r="A5" s="4" t="s">
        <v>22</v>
      </c>
      <c r="B5" s="4" t="s">
        <v>22</v>
      </c>
      <c r="C5" s="4" t="n">
        <f aca="false">COUNTIFS(Execuções!$A$2:$A$25,"B",Execuções!$B$2:$B$25,"B",Execuções!$E$2:$E$25,"&lt;&gt;")</f>
        <v>0</v>
      </c>
      <c r="D5" s="4" t="n">
        <f aca="false">COUNTIFS(Execuções!$A$2:$A$25,"B",Execuções!$B$2:$B$25,"B",Execuções!$M$2:$M$25,"Sim")</f>
        <v>0</v>
      </c>
      <c r="E5" s="4" t="n">
        <f aca="false">COUNTIFS(Execuções!$A$2:$A$25,"B",Execuções!$B$2:$B$25,"B",Execuções!$N$2:$N$25,"Sim")</f>
        <v>0</v>
      </c>
      <c r="F5" s="4" t="n">
        <f aca="false">SUMIFS(Execuções!$I$2:$I$25,Execuções!$A$2:$A$25,"B",Execuções!$B$2:$B$25,"B")</f>
        <v>0</v>
      </c>
      <c r="G5" s="4" t="n">
        <f aca="false">SUMIFS(Execuções!$J$2:$J$25,Execuções!$A$2:$A$25,"B",Execuções!$B$2:$B$25,"B")</f>
        <v>0</v>
      </c>
      <c r="H5" s="4" t="str">
        <f aca="false">IFERROR(AVERAGEIFS(Execuções!$L$2:$L$25,Execuções!$A$2:$A$25,"B",Execuções!$B$2:$B$25,"B"),"")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40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29</v>
      </c>
      <c r="E1" s="5" t="s">
        <v>30</v>
      </c>
      <c r="F1" s="5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23.85" hidden="false" customHeight="false" outlineLevel="0" collapsed="false">
      <c r="A1" s="2" t="s">
        <v>32</v>
      </c>
    </row>
    <row r="2" customFormat="false" ht="15" hidden="false" customHeight="false" outlineLevel="0" collapsed="false">
      <c r="A2" s="2" t="s">
        <v>33</v>
      </c>
    </row>
    <row r="3" customFormat="false" ht="15" hidden="false" customHeight="false" outlineLevel="0" collapsed="false">
      <c r="A3" s="2" t="s">
        <v>34</v>
      </c>
    </row>
    <row r="4" customFormat="false" ht="23.85" hidden="false" customHeight="false" outlineLevel="0" collapsed="false">
      <c r="A4" s="2" t="s">
        <v>35</v>
      </c>
    </row>
    <row r="5" customFormat="false" ht="23.85" hidden="false" customHeight="false" outlineLevel="0" collapsed="false">
      <c r="A5" s="2" t="s">
        <v>36</v>
      </c>
    </row>
    <row r="6" customFormat="false" ht="15" hidden="false" customHeight="false" outlineLevel="0" collapsed="false">
      <c r="A6" s="2" t="s">
        <v>37</v>
      </c>
    </row>
    <row r="7" customFormat="false" ht="23.85" hidden="false" customHeight="false" outlineLevel="0" collapsed="false">
      <c r="A7" s="2" t="s">
        <v>38</v>
      </c>
    </row>
    <row r="8" customFormat="false" ht="15" hidden="false" customHeight="false" outlineLevel="0" collapsed="false">
      <c r="A8" s="2" t="s">
        <v>39</v>
      </c>
    </row>
    <row r="9" customFormat="false" ht="23.85" hidden="false" customHeight="false" outlineLevel="0" collapsed="false">
      <c r="A9" s="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2026-10-30T18:43:15Z</dcterms:created>
  <dc:creator>openpyxl</dc:creator>
  <dc:description/>
  <dc:language>en-US</dc:language>
  <cp:lastModifiedBy/>
  <dcterms:modified xsi:type="dcterms:W3CDTF">2026-10-30T18:43:15Z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